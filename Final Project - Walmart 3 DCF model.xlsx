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n Gohil\Downloads\"/>
    </mc:Choice>
  </mc:AlternateContent>
  <xr:revisionPtr revIDLastSave="0" documentId="8_{7BF799E4-EF1E-4016-B857-41B2E90A0777}" xr6:coauthVersionLast="47" xr6:coauthVersionMax="47" xr10:uidLastSave="{00000000-0000-0000-0000-000000000000}"/>
  <bookViews>
    <workbookView xWindow="-120" yWindow="-120" windowWidth="38640" windowHeight="21120" activeTab="4" xr2:uid="{6AF8443D-59FA-4A06-8465-CA682F8D227C}"/>
  </bookViews>
  <sheets>
    <sheet name="Historical" sheetId="5" r:id="rId1"/>
    <sheet name="Assum" sheetId="2" r:id="rId2"/>
    <sheet name="Projections" sheetId="3" r:id="rId3"/>
    <sheet name="FCF" sheetId="4" r:id="rId4"/>
    <sheet name="DCF Valuatio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1" l="1"/>
  <c r="L12" i="1"/>
  <c r="L10" i="1"/>
  <c r="J12" i="1"/>
  <c r="J11" i="1"/>
  <c r="J10" i="1"/>
  <c r="B48" i="1"/>
  <c r="B46" i="1"/>
  <c r="F39" i="1"/>
  <c r="E39" i="1"/>
  <c r="D39" i="1"/>
  <c r="C39" i="1"/>
  <c r="B39" i="1"/>
  <c r="B31" i="1"/>
  <c r="F22" i="1"/>
  <c r="E22" i="1"/>
  <c r="D22" i="1"/>
  <c r="C22" i="1"/>
  <c r="B22" i="1"/>
  <c r="F18" i="4"/>
  <c r="F17" i="4"/>
  <c r="F16" i="4"/>
  <c r="F19" i="4" s="1"/>
  <c r="F38" i="1" s="1"/>
  <c r="E18" i="4"/>
  <c r="E17" i="4"/>
  <c r="E16" i="4"/>
  <c r="E19" i="4" s="1"/>
  <c r="E38" i="1" s="1"/>
  <c r="E40" i="1" s="1"/>
  <c r="D18" i="4"/>
  <c r="D17" i="4"/>
  <c r="D16" i="4"/>
  <c r="C18" i="4"/>
  <c r="C17" i="4"/>
  <c r="C16" i="4"/>
  <c r="C19" i="4" s="1"/>
  <c r="C38" i="1" s="1"/>
  <c r="C40" i="1" s="1"/>
  <c r="B18" i="4"/>
  <c r="B17" i="4"/>
  <c r="B16" i="4"/>
  <c r="B19" i="4" s="1"/>
  <c r="B38" i="1" s="1"/>
  <c r="B40" i="1" s="1"/>
  <c r="F11" i="4"/>
  <c r="E11" i="4"/>
  <c r="D11" i="4"/>
  <c r="C11" i="4"/>
  <c r="B11" i="4"/>
  <c r="B25" i="3"/>
  <c r="B15" i="3"/>
  <c r="B14" i="1"/>
  <c r="B12" i="1"/>
  <c r="F5" i="1"/>
  <c r="E5" i="1"/>
  <c r="D5" i="1"/>
  <c r="C5" i="1"/>
  <c r="B5" i="1"/>
  <c r="B5" i="3"/>
  <c r="B4" i="5"/>
  <c r="C4" i="5"/>
  <c r="D4" i="5"/>
  <c r="E4" i="5"/>
  <c r="F4" i="5"/>
  <c r="B6" i="5"/>
  <c r="C6" i="5"/>
  <c r="D6" i="5"/>
  <c r="E6" i="5"/>
  <c r="F6" i="5"/>
  <c r="B13" i="5"/>
  <c r="C13" i="5"/>
  <c r="D13" i="5"/>
  <c r="E13" i="5"/>
  <c r="F13" i="5"/>
  <c r="B14" i="5"/>
  <c r="C14" i="5"/>
  <c r="D14" i="5"/>
  <c r="E14" i="5"/>
  <c r="F14" i="5"/>
  <c r="C15" i="5"/>
  <c r="D15" i="5"/>
  <c r="E15" i="5"/>
  <c r="F15" i="5"/>
  <c r="D19" i="4" l="1"/>
  <c r="D38" i="1" s="1"/>
  <c r="D40" i="1" s="1"/>
  <c r="F40" i="1"/>
  <c r="B42" i="1" s="1"/>
  <c r="B43" i="1"/>
  <c r="B44" i="1" s="1"/>
  <c r="C25" i="3"/>
  <c r="B32" i="3"/>
  <c r="B31" i="3"/>
  <c r="B27" i="3"/>
  <c r="B26" i="3"/>
  <c r="B28" i="3" s="1"/>
  <c r="C15" i="3"/>
  <c r="B21" i="3"/>
  <c r="B17" i="3"/>
  <c r="B22" i="3"/>
  <c r="B12" i="4" s="1"/>
  <c r="B16" i="3"/>
  <c r="B6" i="3"/>
  <c r="C5" i="3"/>
  <c r="D5" i="3" s="1"/>
  <c r="B11" i="3"/>
  <c r="B5" i="4" s="1"/>
  <c r="B12" i="3"/>
  <c r="B6" i="4" s="1"/>
  <c r="B7" i="3"/>
  <c r="C12" i="3"/>
  <c r="C6" i="4" s="1"/>
  <c r="C11" i="3"/>
  <c r="C5" i="4" s="1"/>
  <c r="C7" i="3"/>
  <c r="C6" i="3"/>
  <c r="B45" i="1" l="1"/>
  <c r="B47" i="1" s="1"/>
  <c r="B49" i="1" s="1"/>
  <c r="J6" i="1" s="1"/>
  <c r="D25" i="3"/>
  <c r="C26" i="3"/>
  <c r="C27" i="3"/>
  <c r="C31" i="3"/>
  <c r="C32" i="3"/>
  <c r="B29" i="3"/>
  <c r="B30" i="3"/>
  <c r="C17" i="3"/>
  <c r="C18" i="3" s="1"/>
  <c r="C22" i="3"/>
  <c r="C12" i="4" s="1"/>
  <c r="C16" i="3"/>
  <c r="C21" i="3"/>
  <c r="D15" i="3"/>
  <c r="D6" i="3"/>
  <c r="D11" i="3"/>
  <c r="D5" i="4" s="1"/>
  <c r="D12" i="3"/>
  <c r="D6" i="4" s="1"/>
  <c r="D7" i="3"/>
  <c r="E5" i="3"/>
  <c r="B18" i="3"/>
  <c r="B8" i="3"/>
  <c r="C8" i="3"/>
  <c r="C9" i="3" s="1"/>
  <c r="C10" i="3" s="1"/>
  <c r="C4" i="4" s="1"/>
  <c r="C7" i="4" s="1"/>
  <c r="C4" i="1" s="1"/>
  <c r="C6" i="1" s="1"/>
  <c r="D26" i="3" l="1"/>
  <c r="D27" i="3"/>
  <c r="D31" i="3"/>
  <c r="D32" i="3"/>
  <c r="E25" i="3"/>
  <c r="C19" i="3"/>
  <c r="C20" i="3" s="1"/>
  <c r="C10" i="4" s="1"/>
  <c r="C13" i="4" s="1"/>
  <c r="C21" i="1" s="1"/>
  <c r="C23" i="1" s="1"/>
  <c r="D22" i="3"/>
  <c r="D12" i="4" s="1"/>
  <c r="D16" i="3"/>
  <c r="D17" i="3"/>
  <c r="D21" i="3"/>
  <c r="E15" i="3"/>
  <c r="E6" i="3"/>
  <c r="E12" i="3"/>
  <c r="E6" i="4" s="1"/>
  <c r="E11" i="3"/>
  <c r="E5" i="4" s="1"/>
  <c r="E7" i="3"/>
  <c r="F5" i="3"/>
  <c r="B19" i="3"/>
  <c r="B20" i="3" s="1"/>
  <c r="B10" i="4" s="1"/>
  <c r="B13" i="4" s="1"/>
  <c r="B21" i="1" s="1"/>
  <c r="B23" i="1" s="1"/>
  <c r="B9" i="3"/>
  <c r="B10" i="3"/>
  <c r="B4" i="4" s="1"/>
  <c r="B7" i="4" s="1"/>
  <c r="B4" i="1" s="1"/>
  <c r="B6" i="1" s="1"/>
  <c r="C28" i="3"/>
  <c r="D8" i="3"/>
  <c r="D18" i="3" l="1"/>
  <c r="E26" i="3"/>
  <c r="E27" i="3"/>
  <c r="E31" i="3"/>
  <c r="E32" i="3"/>
  <c r="F25" i="3"/>
  <c r="D19" i="3"/>
  <c r="D20" i="3" s="1"/>
  <c r="D10" i="4" s="1"/>
  <c r="D13" i="4" s="1"/>
  <c r="D21" i="1" s="1"/>
  <c r="D23" i="1" s="1"/>
  <c r="E16" i="3"/>
  <c r="E18" i="3" s="1"/>
  <c r="E19" i="3" s="1"/>
  <c r="E20" i="3" s="1"/>
  <c r="E10" i="4" s="1"/>
  <c r="E21" i="3"/>
  <c r="E22" i="3"/>
  <c r="E12" i="4" s="1"/>
  <c r="E17" i="3"/>
  <c r="F15" i="3"/>
  <c r="F6" i="3"/>
  <c r="F7" i="3"/>
  <c r="F11" i="3"/>
  <c r="F5" i="4" s="1"/>
  <c r="F12" i="3"/>
  <c r="F6" i="4" s="1"/>
  <c r="C29" i="3"/>
  <c r="C30" i="3" s="1"/>
  <c r="D9" i="3"/>
  <c r="D10" i="3" s="1"/>
  <c r="D4" i="4" s="1"/>
  <c r="D7" i="4" s="1"/>
  <c r="D4" i="1" s="1"/>
  <c r="D6" i="1" s="1"/>
  <c r="E8" i="3"/>
  <c r="E9" i="3" s="1"/>
  <c r="E10" i="3" s="1"/>
  <c r="E4" i="4" s="1"/>
  <c r="E7" i="4" s="1"/>
  <c r="E4" i="1" s="1"/>
  <c r="E6" i="1" s="1"/>
  <c r="D28" i="3"/>
  <c r="D29" i="3" s="1"/>
  <c r="D30" i="3" s="1"/>
  <c r="E13" i="4" l="1"/>
  <c r="E21" i="1" s="1"/>
  <c r="E23" i="1" s="1"/>
  <c r="F26" i="3"/>
  <c r="F27" i="3"/>
  <c r="F31" i="3"/>
  <c r="F32" i="3"/>
  <c r="F16" i="3"/>
  <c r="F17" i="3"/>
  <c r="F22" i="3"/>
  <c r="F12" i="4" s="1"/>
  <c r="F21" i="3"/>
  <c r="F8" i="3"/>
  <c r="F9" i="3" s="1"/>
  <c r="F10" i="3" s="1"/>
  <c r="F4" i="4" s="1"/>
  <c r="F7" i="4" s="1"/>
  <c r="F4" i="1" s="1"/>
  <c r="E28" i="3"/>
  <c r="E29" i="3" s="1"/>
  <c r="E30" i="3" s="1"/>
  <c r="F6" i="1" l="1"/>
  <c r="B8" i="1" s="1"/>
  <c r="B9" i="1"/>
  <c r="B10" i="1" s="1"/>
  <c r="F28" i="3"/>
  <c r="F18" i="3"/>
  <c r="F19" i="3" s="1"/>
  <c r="F20" i="3" s="1"/>
  <c r="F10" i="4" s="1"/>
  <c r="F13" i="4" s="1"/>
  <c r="F21" i="1" s="1"/>
  <c r="B11" i="1" l="1"/>
  <c r="B13" i="1" s="1"/>
  <c r="B15" i="1" s="1"/>
  <c r="J5" i="1" s="1"/>
  <c r="B26" i="1"/>
  <c r="B27" i="1" s="1"/>
  <c r="F23" i="1"/>
  <c r="B25" i="1" s="1"/>
  <c r="F29" i="3"/>
  <c r="F30" i="3" s="1"/>
  <c r="B28" i="1" l="1"/>
  <c r="B30" i="1" s="1"/>
  <c r="B32" i="1" s="1"/>
  <c r="J4" i="1" s="1"/>
</calcChain>
</file>

<file path=xl/sharedStrings.xml><?xml version="1.0" encoding="utf-8"?>
<sst xmlns="http://schemas.openxmlformats.org/spreadsheetml/2006/main" count="161" uniqueCount="86">
  <si>
    <t>Metric</t>
  </si>
  <si>
    <t>FY2022</t>
  </si>
  <si>
    <t>FY2023</t>
  </si>
  <si>
    <t>FY2024</t>
  </si>
  <si>
    <t>FY2025</t>
  </si>
  <si>
    <t>Net Sales</t>
  </si>
  <si>
    <t>Cost of Sales</t>
  </si>
  <si>
    <t>Gross Profit</t>
  </si>
  <si>
    <t>Operating Expenses</t>
  </si>
  <si>
    <t>Depreciation &amp; Amortization</t>
  </si>
  <si>
    <t>Interest Expense (net)</t>
  </si>
  <si>
    <t>Income Tax  Provision</t>
  </si>
  <si>
    <t>Net income</t>
  </si>
  <si>
    <t>Capital Expenditures</t>
  </si>
  <si>
    <t>Operating Cash Flows</t>
  </si>
  <si>
    <t>FY2026</t>
  </si>
  <si>
    <t>Operating Income(EBIT)</t>
  </si>
  <si>
    <t>Gross Profit Margin  %</t>
  </si>
  <si>
    <t>Operating Income Margin %</t>
  </si>
  <si>
    <t>Revenue Growth %</t>
  </si>
  <si>
    <t>x</t>
  </si>
  <si>
    <t>DCF Assumptions - 3 Scenario Model</t>
  </si>
  <si>
    <t>Bear Case</t>
  </si>
  <si>
    <t>Base Case</t>
  </si>
  <si>
    <t>Bull Case</t>
  </si>
  <si>
    <t>Revenue Growth Rate</t>
  </si>
  <si>
    <t>Gross profit Margin %</t>
  </si>
  <si>
    <t>Operating Expense margin %</t>
  </si>
  <si>
    <t>Tax Rate %</t>
  </si>
  <si>
    <t>CapEx as % of Revenue</t>
  </si>
  <si>
    <t>D&amp;A as % of Revenue</t>
  </si>
  <si>
    <t>Discount Rate(WACC)</t>
  </si>
  <si>
    <t>Terminal Growth Rate</t>
  </si>
  <si>
    <t>FY2027</t>
  </si>
  <si>
    <t>FY2028</t>
  </si>
  <si>
    <t>FY2029</t>
  </si>
  <si>
    <t>FY2030</t>
  </si>
  <si>
    <t>FY2031</t>
  </si>
  <si>
    <t>Scenario</t>
  </si>
  <si>
    <t>Revenue</t>
  </si>
  <si>
    <t>Operating Expense</t>
  </si>
  <si>
    <t xml:space="preserve">Tax Expense </t>
  </si>
  <si>
    <t>NOPAT</t>
  </si>
  <si>
    <t>D&amp;A</t>
  </si>
  <si>
    <t>Capex</t>
  </si>
  <si>
    <t>CapEx</t>
  </si>
  <si>
    <t>NOPAT(Net Operating Profit after Taxes)</t>
  </si>
  <si>
    <t xml:space="preserve"> </t>
  </si>
  <si>
    <t>Add Back D&amp;A</t>
  </si>
  <si>
    <t>Less CapEx</t>
  </si>
  <si>
    <t xml:space="preserve">Unlevered Free Cash Flow </t>
  </si>
  <si>
    <t xml:space="preserve"> DCF Valuations - Base Case</t>
  </si>
  <si>
    <t>Year</t>
  </si>
  <si>
    <t>UFCF</t>
  </si>
  <si>
    <t>Discount Factor</t>
  </si>
  <si>
    <t>Present Value of UFCF</t>
  </si>
  <si>
    <t>Sum of PV of Cash Flows</t>
  </si>
  <si>
    <t>Terminal Value</t>
  </si>
  <si>
    <t>PV of Terminal Value</t>
  </si>
  <si>
    <t>Enterprise Value</t>
  </si>
  <si>
    <t>Less net Debt</t>
  </si>
  <si>
    <t>Equity Value</t>
  </si>
  <si>
    <t>Shares Outstanding</t>
  </si>
  <si>
    <t>Implied Share Price</t>
  </si>
  <si>
    <t xml:space="preserve">Operating Expense </t>
  </si>
  <si>
    <t>Tax Expense</t>
  </si>
  <si>
    <t>Unlevered Free Cash Flows</t>
  </si>
  <si>
    <r>
      <rPr>
        <b/>
        <sz val="11"/>
        <color theme="1"/>
        <rFont val="Aptos Narrow"/>
        <family val="2"/>
        <scheme val="minor"/>
      </rPr>
      <t>Bull Case</t>
    </r>
    <r>
      <rPr>
        <u/>
        <sz val="11"/>
        <color theme="1"/>
        <rFont val="Aptos Narrow"/>
        <family val="2"/>
        <scheme val="minor"/>
      </rPr>
      <t xml:space="preserve"> </t>
    </r>
  </si>
  <si>
    <t>Unlevered Free Cash Flow</t>
  </si>
  <si>
    <t>DCF Valuations - Bear Case</t>
  </si>
  <si>
    <t>CFCF</t>
  </si>
  <si>
    <t>Enterprise  Value</t>
  </si>
  <si>
    <t>Less Net Debt</t>
  </si>
  <si>
    <t>DCF Valuations - Bull Case</t>
  </si>
  <si>
    <t>Present value of UFCF</t>
  </si>
  <si>
    <t>Implied Shares price</t>
  </si>
  <si>
    <t xml:space="preserve">               Free Cash Flow Build</t>
  </si>
  <si>
    <t xml:space="preserve">                       Walmart Projected Income Statements</t>
  </si>
  <si>
    <t>Current Share Price</t>
  </si>
  <si>
    <t>Upside/Downside</t>
  </si>
  <si>
    <t>Recommendation</t>
  </si>
  <si>
    <t>Sell/Overvalued</t>
  </si>
  <si>
    <t>Reason</t>
  </si>
  <si>
    <t>Base Case DCF Value is below current market price</t>
  </si>
  <si>
    <t>Key Takeaway</t>
  </si>
  <si>
    <t>Walmart appears overvalued under my current DCF Assumptions, as the Base Case Implied share price is below the current market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</si>
</sst>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3" fontId="0" fillId="0" borderId="0" xfId="0" applyNumberFormat="1"/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0" fontId="0" fillId="0" borderId="2" xfId="0" applyBorder="1"/>
    <xf numFmtId="3" fontId="0" fillId="0" borderId="2" xfId="2" applyNumberFormat="1" applyFont="1" applyBorder="1"/>
    <xf numFmtId="3" fontId="0" fillId="0" borderId="2" xfId="1" applyNumberFormat="1" applyFont="1" applyBorder="1"/>
    <xf numFmtId="3" fontId="0" fillId="0" borderId="2" xfId="0" applyNumberFormat="1" applyBorder="1"/>
    <xf numFmtId="164" fontId="0" fillId="0" borderId="2" xfId="0" applyNumberFormat="1" applyBorder="1"/>
    <xf numFmtId="0" fontId="3" fillId="2" borderId="2" xfId="0" applyFont="1" applyFill="1" applyBorder="1"/>
    <xf numFmtId="0" fontId="0" fillId="0" borderId="7" xfId="0" applyBorder="1"/>
    <xf numFmtId="3" fontId="0" fillId="0" borderId="7" xfId="0" applyNumberFormat="1" applyBorder="1"/>
    <xf numFmtId="0" fontId="3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0" fontId="3" fillId="0" borderId="11" xfId="0" applyFont="1" applyBorder="1"/>
    <xf numFmtId="164" fontId="0" fillId="0" borderId="12" xfId="0" applyNumberFormat="1" applyBorder="1"/>
    <xf numFmtId="0" fontId="3" fillId="0" borderId="13" xfId="0" applyFont="1" applyBorder="1"/>
    <xf numFmtId="0" fontId="0" fillId="0" borderId="14" xfId="0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3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165" fontId="0" fillId="0" borderId="0" xfId="0" applyNumberFormat="1"/>
    <xf numFmtId="0" fontId="3" fillId="0" borderId="0" xfId="0" applyFont="1" applyAlignment="1">
      <alignment horizontal="center"/>
    </xf>
    <xf numFmtId="0" fontId="0" fillId="0" borderId="22" xfId="0" applyBorder="1"/>
    <xf numFmtId="0" fontId="0" fillId="0" borderId="23" xfId="0" applyBorder="1"/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2" xfId="0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0" fillId="0" borderId="20" xfId="0" applyBorder="1"/>
    <xf numFmtId="0" fontId="0" fillId="0" borderId="21" xfId="0" applyBorder="1"/>
    <xf numFmtId="0" fontId="3" fillId="0" borderId="23" xfId="0" applyFont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3" fillId="2" borderId="21" xfId="0" applyFont="1" applyFill="1" applyBorder="1"/>
    <xf numFmtId="0" fontId="3" fillId="0" borderId="22" xfId="0" applyFont="1" applyBorder="1"/>
    <xf numFmtId="0" fontId="4" fillId="0" borderId="22" xfId="0" applyFont="1" applyBorder="1"/>
    <xf numFmtId="0" fontId="3" fillId="2" borderId="19" xfId="0" applyFont="1" applyFill="1" applyBorder="1"/>
    <xf numFmtId="0" fontId="3" fillId="2" borderId="22" xfId="0" applyFont="1" applyFill="1" applyBorder="1" applyAlignment="1">
      <alignment horizontal="center"/>
    </xf>
    <xf numFmtId="0" fontId="6" fillId="0" borderId="0" xfId="0" applyFont="1"/>
    <xf numFmtId="0" fontId="2" fillId="0" borderId="24" xfId="0" applyFont="1" applyBorder="1"/>
    <xf numFmtId="0" fontId="2" fillId="0" borderId="25" xfId="0" applyFont="1" applyBorder="1"/>
    <xf numFmtId="0" fontId="2" fillId="0" borderId="23" xfId="0" applyFont="1" applyBorder="1"/>
    <xf numFmtId="0" fontId="5" fillId="0" borderId="19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FA24-29DB-4973-8ED9-63D7222F6DC9}">
  <dimension ref="A1:H15"/>
  <sheetViews>
    <sheetView workbookViewId="0">
      <selection activeCell="F2" sqref="F2"/>
    </sheetView>
  </sheetViews>
  <sheetFormatPr defaultRowHeight="15" x14ac:dyDescent="0.25"/>
  <cols>
    <col min="1" max="1" width="26.28515625" bestFit="1" customWidth="1"/>
    <col min="2" max="2" width="13.7109375" bestFit="1" customWidth="1"/>
    <col min="3" max="6" width="11.5703125" bestFit="1" customWidth="1"/>
  </cols>
  <sheetData>
    <row r="1" spans="1: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15</v>
      </c>
    </row>
    <row r="2" spans="1:8" x14ac:dyDescent="0.25">
      <c r="A2" s="5" t="s">
        <v>5</v>
      </c>
      <c r="B2" s="6">
        <v>567762</v>
      </c>
      <c r="C2" s="7">
        <v>605881</v>
      </c>
      <c r="D2" s="7">
        <v>642637</v>
      </c>
      <c r="E2" s="7">
        <v>674538</v>
      </c>
      <c r="F2" s="7">
        <v>706413</v>
      </c>
    </row>
    <row r="3" spans="1:8" x14ac:dyDescent="0.25">
      <c r="A3" s="5" t="s">
        <v>6</v>
      </c>
      <c r="B3" s="7">
        <v>429000</v>
      </c>
      <c r="C3" s="7">
        <v>463721</v>
      </c>
      <c r="D3" s="7">
        <v>490142</v>
      </c>
      <c r="E3" s="7">
        <v>511753</v>
      </c>
      <c r="F3" s="7">
        <v>535395</v>
      </c>
    </row>
    <row r="4" spans="1:8" x14ac:dyDescent="0.25">
      <c r="A4" s="5" t="s">
        <v>7</v>
      </c>
      <c r="B4" s="8">
        <f>B2-B3</f>
        <v>138762</v>
      </c>
      <c r="C4" s="8">
        <f t="shared" ref="C4:F4" si="0">C2-C3</f>
        <v>142160</v>
      </c>
      <c r="D4" s="8">
        <f t="shared" si="0"/>
        <v>152495</v>
      </c>
      <c r="E4" s="8">
        <f t="shared" si="0"/>
        <v>162785</v>
      </c>
      <c r="F4" s="8">
        <f t="shared" si="0"/>
        <v>171018</v>
      </c>
    </row>
    <row r="5" spans="1:8" x14ac:dyDescent="0.25">
      <c r="A5" s="5" t="s">
        <v>8</v>
      </c>
      <c r="B5" s="8">
        <v>117812</v>
      </c>
      <c r="C5" s="8">
        <v>127140</v>
      </c>
      <c r="D5" s="8">
        <v>130971</v>
      </c>
      <c r="E5" s="8">
        <v>139884</v>
      </c>
      <c r="F5" s="8">
        <v>147943</v>
      </c>
      <c r="H5" s="2"/>
    </row>
    <row r="6" spans="1:8" x14ac:dyDescent="0.25">
      <c r="A6" s="5" t="s">
        <v>16</v>
      </c>
      <c r="B6" s="8">
        <f>B4-B5</f>
        <v>20950</v>
      </c>
      <c r="C6" s="8">
        <f t="shared" ref="C6:F6" si="1">C4-C5</f>
        <v>15020</v>
      </c>
      <c r="D6" s="8">
        <f t="shared" si="1"/>
        <v>21524</v>
      </c>
      <c r="E6" s="8">
        <f t="shared" si="1"/>
        <v>22901</v>
      </c>
      <c r="F6" s="8">
        <f t="shared" si="1"/>
        <v>23075</v>
      </c>
    </row>
    <row r="7" spans="1:8" x14ac:dyDescent="0.25">
      <c r="A7" s="5" t="s">
        <v>9</v>
      </c>
      <c r="B7" s="8">
        <v>10658</v>
      </c>
      <c r="C7" s="8">
        <v>10945</v>
      </c>
      <c r="D7" s="8">
        <v>11853</v>
      </c>
      <c r="E7" s="8">
        <v>12973</v>
      </c>
      <c r="F7" s="8">
        <v>14203</v>
      </c>
    </row>
    <row r="8" spans="1:8" x14ac:dyDescent="0.25">
      <c r="A8" s="5" t="s">
        <v>10</v>
      </c>
      <c r="B8" s="8">
        <v>1836</v>
      </c>
      <c r="C8" s="8">
        <v>1874</v>
      </c>
      <c r="D8" s="8">
        <v>2137</v>
      </c>
      <c r="E8" s="8">
        <v>2245</v>
      </c>
      <c r="F8" s="8">
        <v>2431</v>
      </c>
    </row>
    <row r="9" spans="1:8" x14ac:dyDescent="0.25">
      <c r="A9" s="5" t="s">
        <v>11</v>
      </c>
      <c r="B9" s="8">
        <v>4756</v>
      </c>
      <c r="C9" s="8">
        <v>5724</v>
      </c>
      <c r="D9" s="8">
        <v>5578</v>
      </c>
      <c r="E9" s="8">
        <v>6152</v>
      </c>
      <c r="F9" s="8">
        <v>7199</v>
      </c>
    </row>
    <row r="10" spans="1:8" x14ac:dyDescent="0.25">
      <c r="A10" s="5" t="s">
        <v>12</v>
      </c>
      <c r="B10" s="8">
        <v>13940</v>
      </c>
      <c r="C10" s="8">
        <v>11292</v>
      </c>
      <c r="D10" s="8">
        <v>16270</v>
      </c>
      <c r="E10" s="8">
        <v>20157</v>
      </c>
      <c r="F10" s="8">
        <v>22270</v>
      </c>
    </row>
    <row r="11" spans="1:8" x14ac:dyDescent="0.25">
      <c r="A11" s="5" t="s">
        <v>13</v>
      </c>
      <c r="B11" s="8">
        <v>13106</v>
      </c>
      <c r="C11" s="8">
        <v>16857</v>
      </c>
      <c r="D11" s="8">
        <v>20606</v>
      </c>
      <c r="E11" s="8">
        <v>23783</v>
      </c>
      <c r="F11" s="8">
        <v>26672</v>
      </c>
    </row>
    <row r="12" spans="1:8" ht="15.75" thickBot="1" x14ac:dyDescent="0.3">
      <c r="A12" s="11" t="s">
        <v>14</v>
      </c>
      <c r="B12" s="12">
        <v>24181</v>
      </c>
      <c r="C12" s="12">
        <v>28841</v>
      </c>
      <c r="D12" s="12">
        <v>35726</v>
      </c>
      <c r="E12" s="12">
        <v>36443</v>
      </c>
      <c r="F12" s="12">
        <v>41565</v>
      </c>
    </row>
    <row r="13" spans="1:8" x14ac:dyDescent="0.25">
      <c r="A13" s="13" t="s">
        <v>17</v>
      </c>
      <c r="B13" s="14">
        <f>B4/B2</f>
        <v>0.24440170353070476</v>
      </c>
      <c r="C13" s="14">
        <f t="shared" ref="C13:F13" si="2">C4/C2</f>
        <v>0.23463353364769649</v>
      </c>
      <c r="D13" s="14">
        <f t="shared" si="2"/>
        <v>0.23729570504032604</v>
      </c>
      <c r="E13" s="14">
        <f t="shared" si="2"/>
        <v>0.24132813866676156</v>
      </c>
      <c r="F13" s="15">
        <f t="shared" si="2"/>
        <v>0.24209350620670911</v>
      </c>
    </row>
    <row r="14" spans="1:8" x14ac:dyDescent="0.25">
      <c r="A14" s="16" t="s">
        <v>18</v>
      </c>
      <c r="B14" s="9">
        <f>B6/B2</f>
        <v>3.6899264128279104E-2</v>
      </c>
      <c r="C14" s="9">
        <f t="shared" ref="C14:F14" si="3">C6/C2</f>
        <v>2.4790346619220607E-2</v>
      </c>
      <c r="D14" s="9">
        <f t="shared" si="3"/>
        <v>3.3493247354260645E-2</v>
      </c>
      <c r="E14" s="9">
        <f t="shared" si="3"/>
        <v>3.3950644737583351E-2</v>
      </c>
      <c r="F14" s="17">
        <f t="shared" si="3"/>
        <v>3.2665027398986149E-2</v>
      </c>
    </row>
    <row r="15" spans="1:8" ht="15.75" thickBot="1" x14ac:dyDescent="0.3">
      <c r="A15" s="18" t="s">
        <v>19</v>
      </c>
      <c r="B15" s="19" t="s">
        <v>20</v>
      </c>
      <c r="C15" s="20">
        <f>(C2-B2)/B2</f>
        <v>6.7139047699564247E-2</v>
      </c>
      <c r="D15" s="20">
        <f t="shared" ref="D15:F15" si="4">(D2-C2)/C2</f>
        <v>6.0665378184825071E-2</v>
      </c>
      <c r="E15" s="20">
        <f t="shared" si="4"/>
        <v>4.9640776986074567E-2</v>
      </c>
      <c r="F15" s="21">
        <f t="shared" si="4"/>
        <v>4.7254565346948579E-2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8EE7-5C65-44EB-8207-A21CB90D0E8A}">
  <dimension ref="A1:D11"/>
  <sheetViews>
    <sheetView workbookViewId="0">
      <selection activeCell="F3" sqref="F3"/>
    </sheetView>
  </sheetViews>
  <sheetFormatPr defaultRowHeight="15" x14ac:dyDescent="0.25"/>
  <cols>
    <col min="1" max="1" width="34.7109375" customWidth="1"/>
    <col min="2" max="2" width="9.7109375" bestFit="1" customWidth="1"/>
    <col min="3" max="3" width="10" bestFit="1" customWidth="1"/>
  </cols>
  <sheetData>
    <row r="1" spans="1:4" ht="15.75" thickBot="1" x14ac:dyDescent="0.3">
      <c r="A1" s="68" t="s">
        <v>21</v>
      </c>
      <c r="B1" s="69"/>
      <c r="C1" s="69"/>
      <c r="D1" s="70"/>
    </row>
    <row r="2" spans="1:4" x14ac:dyDescent="0.25">
      <c r="A2" s="22"/>
      <c r="D2" s="23"/>
    </row>
    <row r="3" spans="1:4" x14ac:dyDescent="0.25">
      <c r="A3" s="24" t="s">
        <v>0</v>
      </c>
      <c r="B3" s="3" t="s">
        <v>22</v>
      </c>
      <c r="C3" s="3" t="s">
        <v>23</v>
      </c>
      <c r="D3" s="25" t="s">
        <v>24</v>
      </c>
    </row>
    <row r="4" spans="1:4" x14ac:dyDescent="0.25">
      <c r="A4" s="22" t="s">
        <v>25</v>
      </c>
      <c r="B4">
        <v>3</v>
      </c>
      <c r="C4">
        <v>4.5</v>
      </c>
      <c r="D4" s="23">
        <v>6</v>
      </c>
    </row>
    <row r="5" spans="1:4" x14ac:dyDescent="0.25">
      <c r="A5" s="22" t="s">
        <v>26</v>
      </c>
      <c r="B5">
        <v>23</v>
      </c>
      <c r="C5">
        <v>24</v>
      </c>
      <c r="D5" s="23">
        <v>25</v>
      </c>
    </row>
    <row r="6" spans="1:4" x14ac:dyDescent="0.25">
      <c r="A6" s="22" t="s">
        <v>27</v>
      </c>
      <c r="B6">
        <v>20.5</v>
      </c>
      <c r="C6">
        <v>20.5</v>
      </c>
      <c r="D6" s="23">
        <v>19.5</v>
      </c>
    </row>
    <row r="7" spans="1:4" x14ac:dyDescent="0.25">
      <c r="A7" s="22" t="s">
        <v>28</v>
      </c>
      <c r="B7">
        <v>26</v>
      </c>
      <c r="C7">
        <v>24.5</v>
      </c>
      <c r="D7" s="23">
        <v>23</v>
      </c>
    </row>
    <row r="8" spans="1:4" x14ac:dyDescent="0.25">
      <c r="A8" s="22" t="s">
        <v>29</v>
      </c>
      <c r="B8">
        <v>3.5</v>
      </c>
      <c r="C8">
        <v>3.2</v>
      </c>
      <c r="D8" s="23">
        <v>3.2</v>
      </c>
    </row>
    <row r="9" spans="1:4" x14ac:dyDescent="0.25">
      <c r="A9" s="22" t="s">
        <v>30</v>
      </c>
      <c r="B9">
        <v>1.9</v>
      </c>
      <c r="C9">
        <v>2</v>
      </c>
      <c r="D9" s="23">
        <v>2.1</v>
      </c>
    </row>
    <row r="10" spans="1:4" x14ac:dyDescent="0.25">
      <c r="A10" s="22" t="s">
        <v>31</v>
      </c>
      <c r="B10">
        <v>9</v>
      </c>
      <c r="C10">
        <v>8</v>
      </c>
      <c r="D10" s="23">
        <v>7</v>
      </c>
    </row>
    <row r="11" spans="1:4" x14ac:dyDescent="0.25">
      <c r="A11" s="26" t="s">
        <v>32</v>
      </c>
      <c r="B11" s="27">
        <v>2</v>
      </c>
      <c r="C11" s="27">
        <v>2.5</v>
      </c>
      <c r="D11" s="28">
        <v>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059D-21C2-4869-B2F0-63D636EEC04B}">
  <dimension ref="A1:P34"/>
  <sheetViews>
    <sheetView workbookViewId="0">
      <selection activeCell="S34" sqref="S34"/>
    </sheetView>
  </sheetViews>
  <sheetFormatPr defaultRowHeight="15" x14ac:dyDescent="0.25"/>
  <cols>
    <col min="1" max="1" width="36.5703125" bestFit="1" customWidth="1"/>
    <col min="2" max="2" width="10" bestFit="1" customWidth="1"/>
    <col min="6" max="6" width="12" bestFit="1" customWidth="1"/>
  </cols>
  <sheetData>
    <row r="1" spans="1:16" x14ac:dyDescent="0.25">
      <c r="A1" s="71" t="s">
        <v>77</v>
      </c>
      <c r="B1" s="72"/>
      <c r="C1" s="72"/>
      <c r="D1" s="72"/>
      <c r="E1" s="72"/>
      <c r="F1" s="52"/>
    </row>
    <row r="2" spans="1:16" x14ac:dyDescent="0.25">
      <c r="A2" s="31"/>
      <c r="F2" s="32"/>
    </row>
    <row r="3" spans="1:16" ht="15.75" thickBot="1" x14ac:dyDescent="0.3">
      <c r="A3" s="38"/>
      <c r="B3" s="30" t="s">
        <v>33</v>
      </c>
      <c r="C3" s="30" t="s">
        <v>34</v>
      </c>
      <c r="D3" s="30" t="s">
        <v>35</v>
      </c>
      <c r="E3" s="30" t="s">
        <v>36</v>
      </c>
      <c r="F3" s="34" t="s">
        <v>37</v>
      </c>
    </row>
    <row r="4" spans="1:16" x14ac:dyDescent="0.25">
      <c r="A4" s="61" t="s">
        <v>23</v>
      </c>
      <c r="B4" s="44"/>
      <c r="C4" s="44"/>
      <c r="D4" s="44"/>
      <c r="E4" s="44"/>
      <c r="F4" s="45"/>
    </row>
    <row r="5" spans="1:16" x14ac:dyDescent="0.25">
      <c r="A5" s="39" t="s">
        <v>39</v>
      </c>
      <c r="B5" s="1">
        <f>Historical!F2*(1+Assum!C4/100)</f>
        <v>738201.58499999996</v>
      </c>
      <c r="C5">
        <f>B5*(1+Assum!$C$4/100)</f>
        <v>771420.65632499987</v>
      </c>
      <c r="D5">
        <f>C5*(1+Assum!$C$4/100)</f>
        <v>806134.58585962479</v>
      </c>
      <c r="E5">
        <f>D5*(1+Assum!$C$4/100)</f>
        <v>842410.64222330786</v>
      </c>
      <c r="F5" s="32">
        <f>E5*(1+Assum!$C$4/100)</f>
        <v>880319.12112335663</v>
      </c>
    </row>
    <row r="6" spans="1:16" x14ac:dyDescent="0.25">
      <c r="A6" s="39" t="s">
        <v>7</v>
      </c>
      <c r="B6">
        <f>B5*(Assum!$C$5/100)</f>
        <v>177168.38039999999</v>
      </c>
      <c r="C6">
        <f>C5*(Assum!$C$5/100)</f>
        <v>185140.95751799995</v>
      </c>
      <c r="D6">
        <f>D5*(Assum!$C$5/100)</f>
        <v>193472.30060630993</v>
      </c>
      <c r="E6">
        <f>E5*(Assum!$C$5/100)</f>
        <v>202178.55413359389</v>
      </c>
      <c r="F6" s="32">
        <f>F5*(Assum!$C$5/100)</f>
        <v>211276.58906960557</v>
      </c>
    </row>
    <row r="7" spans="1:16" x14ac:dyDescent="0.25">
      <c r="A7" s="39" t="s">
        <v>40</v>
      </c>
      <c r="B7">
        <f>B5*(Assum!$C$6/100)</f>
        <v>151331.32492499999</v>
      </c>
      <c r="C7">
        <f>C5*(Assum!$C$6/100)</f>
        <v>158141.23454662497</v>
      </c>
      <c r="D7">
        <f>D5*(Assum!$C$6/100)</f>
        <v>165257.59010122306</v>
      </c>
      <c r="E7">
        <f>E5*(Assum!$C$6/100)</f>
        <v>172694.18165577811</v>
      </c>
      <c r="F7" s="32">
        <f>F5*(Assum!$C$6/100)</f>
        <v>180465.4198302881</v>
      </c>
    </row>
    <row r="8" spans="1:16" x14ac:dyDescent="0.25">
      <c r="A8" s="39" t="s">
        <v>16</v>
      </c>
      <c r="B8">
        <f>B6-B7</f>
        <v>25837.055475000001</v>
      </c>
      <c r="C8">
        <f>C6-C7</f>
        <v>26999.722971374984</v>
      </c>
      <c r="D8">
        <f>D6-D7</f>
        <v>28214.71050508687</v>
      </c>
      <c r="E8">
        <f>E6-E7</f>
        <v>29484.372477815778</v>
      </c>
      <c r="F8" s="32">
        <f>F6-F7</f>
        <v>30811.169239317474</v>
      </c>
    </row>
    <row r="9" spans="1:16" x14ac:dyDescent="0.25">
      <c r="A9" s="39" t="s">
        <v>41</v>
      </c>
      <c r="B9">
        <f>B8*(Assum!$C$7/100)</f>
        <v>6330.0785913750005</v>
      </c>
      <c r="C9">
        <f>C8*(Assum!$C$7/100)</f>
        <v>6614.9321279868709</v>
      </c>
      <c r="D9">
        <f>D8*(Assum!$C$7/100)</f>
        <v>6912.6040737462836</v>
      </c>
      <c r="E9">
        <f>E8*(Assum!$C$7/100)</f>
        <v>7223.6712570648651</v>
      </c>
      <c r="F9" s="32">
        <f>F8*(Assum!$C$7/100)</f>
        <v>7548.7364636327811</v>
      </c>
      <c r="P9" s="1"/>
    </row>
    <row r="10" spans="1:16" x14ac:dyDescent="0.25">
      <c r="A10" s="39" t="s">
        <v>46</v>
      </c>
      <c r="B10">
        <f>B8-B9</f>
        <v>19506.976883625</v>
      </c>
      <c r="C10">
        <f>C8-C9</f>
        <v>20384.790843388113</v>
      </c>
      <c r="D10">
        <f>D8-D9</f>
        <v>21302.106431340588</v>
      </c>
      <c r="E10">
        <f>E8-E9</f>
        <v>22260.701220750911</v>
      </c>
      <c r="F10" s="32">
        <f>F8-F9</f>
        <v>23262.432775684694</v>
      </c>
    </row>
    <row r="11" spans="1:16" x14ac:dyDescent="0.25">
      <c r="A11" s="39" t="s">
        <v>43</v>
      </c>
      <c r="B11">
        <f>B5*(Assum!$C$9/100)</f>
        <v>14764.0317</v>
      </c>
      <c r="C11">
        <f>C5*(Assum!$C$9/100)</f>
        <v>15428.413126499998</v>
      </c>
      <c r="D11">
        <f>D5*(Assum!$C$9/100)</f>
        <v>16122.691717192496</v>
      </c>
      <c r="E11">
        <f>E5*(Assum!$C$9/100)</f>
        <v>16848.212844466158</v>
      </c>
      <c r="F11" s="32">
        <f>F5*(Assum!$C$9/100)</f>
        <v>17606.382422467133</v>
      </c>
    </row>
    <row r="12" spans="1:16" x14ac:dyDescent="0.25">
      <c r="A12" s="39" t="s">
        <v>45</v>
      </c>
      <c r="B12">
        <f>B5*(Assum!$C$8/100)</f>
        <v>23622.450720000001</v>
      </c>
      <c r="C12">
        <f>C5*(Assum!$C$8/100)</f>
        <v>24685.461002399996</v>
      </c>
      <c r="D12">
        <f>D5*(Assum!$C$8/100)</f>
        <v>25796.306747507995</v>
      </c>
      <c r="E12">
        <f>E5*(Assum!$C$8/100)</f>
        <v>26957.140551145851</v>
      </c>
      <c r="F12" s="32">
        <f>F5*(Assum!$C$8/100)</f>
        <v>28170.211875947414</v>
      </c>
    </row>
    <row r="13" spans="1:16" ht="15.75" thickBot="1" x14ac:dyDescent="0.3">
      <c r="A13" s="35"/>
      <c r="B13" s="36"/>
      <c r="C13" s="36"/>
      <c r="D13" s="36"/>
      <c r="E13" s="36"/>
      <c r="F13" s="37"/>
    </row>
    <row r="14" spans="1:16" x14ac:dyDescent="0.25">
      <c r="A14" s="61" t="s">
        <v>22</v>
      </c>
      <c r="B14" s="44"/>
      <c r="C14" s="44"/>
      <c r="D14" s="44"/>
      <c r="E14" s="44"/>
      <c r="F14" s="45"/>
    </row>
    <row r="15" spans="1:16" x14ac:dyDescent="0.25">
      <c r="A15" s="39" t="s">
        <v>39</v>
      </c>
      <c r="B15">
        <f>Historical!F2*(1+Assum!$B$4/100)</f>
        <v>727605.39</v>
      </c>
      <c r="C15">
        <f>B15*(1+Assum!$B$4/100)</f>
        <v>749433.55170000007</v>
      </c>
      <c r="D15">
        <f>C15*(1+Assum!$B$4/100)</f>
        <v>771916.55825100013</v>
      </c>
      <c r="E15">
        <f>D15*(1+Assum!$B$4/100)</f>
        <v>795074.05499853019</v>
      </c>
      <c r="F15" s="32">
        <f>E15*(1+Assum!$B$4/100)</f>
        <v>818926.27664848615</v>
      </c>
    </row>
    <row r="16" spans="1:16" x14ac:dyDescent="0.25">
      <c r="A16" s="39" t="s">
        <v>7</v>
      </c>
      <c r="B16">
        <f>B15*(Assum!$B$5/100)</f>
        <v>167349.23970000001</v>
      </c>
      <c r="C16">
        <f>C15*(Assum!$B$5/100)</f>
        <v>172369.71689100002</v>
      </c>
      <c r="D16">
        <f>D15*(Assum!$B$5/100)</f>
        <v>177540.80839773003</v>
      </c>
      <c r="E16">
        <f>E15*(Assum!$B$5/100)</f>
        <v>182867.03264966194</v>
      </c>
      <c r="F16" s="32">
        <f>F15*(Assum!$B$5/100)</f>
        <v>188353.04362915183</v>
      </c>
    </row>
    <row r="17" spans="1:6" x14ac:dyDescent="0.25">
      <c r="A17" s="39" t="s">
        <v>64</v>
      </c>
      <c r="B17">
        <f>B15*(Assum!$B$6/100)</f>
        <v>149159.10495000001</v>
      </c>
      <c r="C17">
        <f>C15*(Assum!$B$6/100)</f>
        <v>153633.87809850002</v>
      </c>
      <c r="D17">
        <f>D15*(Assum!$B$6/100)</f>
        <v>158242.89444145502</v>
      </c>
      <c r="E17">
        <f>E15*(Assum!$B$6/100)</f>
        <v>162990.18127469867</v>
      </c>
      <c r="F17" s="32">
        <f>F15*(Assum!$B$6/100)</f>
        <v>167879.88671293965</v>
      </c>
    </row>
    <row r="18" spans="1:6" x14ac:dyDescent="0.25">
      <c r="A18" s="39" t="s">
        <v>16</v>
      </c>
      <c r="B18">
        <f>B16-B17</f>
        <v>18190.134749999997</v>
      </c>
      <c r="C18">
        <f>C16-C17</f>
        <v>18735.838792499999</v>
      </c>
      <c r="D18">
        <f>D16-D17</f>
        <v>19297.913956275006</v>
      </c>
      <c r="E18">
        <f>E16-E17</f>
        <v>19876.851374963269</v>
      </c>
      <c r="F18" s="32">
        <f>F16-F17</f>
        <v>20473.156916212174</v>
      </c>
    </row>
    <row r="19" spans="1:6" x14ac:dyDescent="0.25">
      <c r="A19" s="39" t="s">
        <v>65</v>
      </c>
      <c r="B19">
        <f>B18*(Assum!$B$7/100)</f>
        <v>4729.4350349999995</v>
      </c>
      <c r="C19">
        <f>C18*(Assum!$B$7/100)</f>
        <v>4871.3180860499997</v>
      </c>
      <c r="D19">
        <f>D18*(Assum!$B$7/100)</f>
        <v>5017.4576286315014</v>
      </c>
      <c r="E19">
        <f>E18*(Assum!$B$7/100)</f>
        <v>5167.9813574904501</v>
      </c>
      <c r="F19" s="32">
        <f>F18*(Assum!$B$7/100)</f>
        <v>5323.0207982151651</v>
      </c>
    </row>
    <row r="20" spans="1:6" x14ac:dyDescent="0.25">
      <c r="A20" s="39" t="s">
        <v>42</v>
      </c>
      <c r="B20">
        <f>B18-B19</f>
        <v>13460.699714999999</v>
      </c>
      <c r="C20">
        <f>C18-C19</f>
        <v>13864.520706449999</v>
      </c>
      <c r="D20">
        <f>D18-D19</f>
        <v>14280.456327643504</v>
      </c>
      <c r="E20">
        <f>E18-E19</f>
        <v>14708.870017472818</v>
      </c>
      <c r="F20" s="32">
        <f>F18-F19</f>
        <v>15150.136117997008</v>
      </c>
    </row>
    <row r="21" spans="1:6" x14ac:dyDescent="0.25">
      <c r="A21" s="39" t="s">
        <v>43</v>
      </c>
      <c r="B21">
        <f>B15*(Assum!$B$9/100)</f>
        <v>13824.502409999999</v>
      </c>
      <c r="C21">
        <f>C15*(Assum!$B$9/100)</f>
        <v>14239.237482300001</v>
      </c>
      <c r="D21">
        <f>D15*(Assum!$B$9/100)</f>
        <v>14666.414606769002</v>
      </c>
      <c r="E21">
        <f>E15*(Assum!$B$9/100)</f>
        <v>15106.407044972073</v>
      </c>
      <c r="F21" s="32">
        <f>F15*(Assum!$B$9/100)</f>
        <v>15559.599256321237</v>
      </c>
    </row>
    <row r="22" spans="1:6" x14ac:dyDescent="0.25">
      <c r="A22" s="39" t="s">
        <v>44</v>
      </c>
      <c r="B22">
        <f>B15*(Assum!$B$8/100)</f>
        <v>25466.188650000004</v>
      </c>
      <c r="C22">
        <f>C15*(Assum!$B$8/100)</f>
        <v>26230.174309500006</v>
      </c>
      <c r="D22">
        <f>D15*(Assum!$B$8/100)</f>
        <v>27017.079538785008</v>
      </c>
      <c r="E22">
        <f>E15*(Assum!$B$8/100)</f>
        <v>27827.59192494856</v>
      </c>
      <c r="F22" s="32">
        <f>F15*(Assum!$B$8/100)</f>
        <v>28662.419682697018</v>
      </c>
    </row>
    <row r="23" spans="1:6" ht="15.75" thickBot="1" x14ac:dyDescent="0.3">
      <c r="A23" s="58"/>
      <c r="B23" s="59"/>
      <c r="C23" s="59"/>
      <c r="D23" s="59"/>
      <c r="E23" s="59"/>
      <c r="F23" s="60"/>
    </row>
    <row r="24" spans="1:6" x14ac:dyDescent="0.25">
      <c r="A24" s="61" t="s">
        <v>24</v>
      </c>
      <c r="B24" s="44"/>
      <c r="C24" s="44"/>
      <c r="D24" s="44"/>
      <c r="E24" s="44"/>
      <c r="F24" s="45"/>
    </row>
    <row r="25" spans="1:6" x14ac:dyDescent="0.25">
      <c r="A25" s="39" t="s">
        <v>39</v>
      </c>
      <c r="B25">
        <f>Historical!F2*(1+Assum!$D$4/100)</f>
        <v>748797.78</v>
      </c>
      <c r="C25">
        <f>B25*(1+Assum!$D$4/100)</f>
        <v>793725.6468000001</v>
      </c>
      <c r="D25">
        <f>C25*(1+Assum!$D$4/100)</f>
        <v>841349.18560800015</v>
      </c>
      <c r="E25">
        <f>D25*(1+Assum!$D$4/100)</f>
        <v>891830.13674448023</v>
      </c>
      <c r="F25" s="32">
        <f>E25*(1+Assum!$D$4/100)</f>
        <v>945339.94494914904</v>
      </c>
    </row>
    <row r="26" spans="1:6" x14ac:dyDescent="0.25">
      <c r="A26" s="39" t="s">
        <v>7</v>
      </c>
      <c r="B26">
        <f>B25*(Assum!$D$5/100)</f>
        <v>187199.44500000001</v>
      </c>
      <c r="C26">
        <f>C25*(Assum!$D$5/100)</f>
        <v>198431.41170000003</v>
      </c>
      <c r="D26">
        <f>D25*(Assum!$D$5/100)</f>
        <v>210337.29640200004</v>
      </c>
      <c r="E26">
        <f>E25*(Assum!$D$5/100)</f>
        <v>222957.53418612006</v>
      </c>
      <c r="F26" s="32">
        <f>F25*(Assum!$D$5/100)</f>
        <v>236334.98623728726</v>
      </c>
    </row>
    <row r="27" spans="1:6" x14ac:dyDescent="0.25">
      <c r="A27" s="39" t="s">
        <v>40</v>
      </c>
      <c r="B27">
        <f>B25*(Assum!$D$6/100)</f>
        <v>146015.56710000001</v>
      </c>
      <c r="C27">
        <f>C25*(Assum!$D$6/100)</f>
        <v>154776.50112600002</v>
      </c>
      <c r="D27">
        <f>D25*(Assum!$D$6/100)</f>
        <v>164063.09119356005</v>
      </c>
      <c r="E27">
        <f>E25*(Assum!$D$6/100)</f>
        <v>173906.87666517365</v>
      </c>
      <c r="F27" s="32">
        <f>F25*(Assum!$D$6/100)</f>
        <v>184341.28926508408</v>
      </c>
    </row>
    <row r="28" spans="1:6" x14ac:dyDescent="0.25">
      <c r="A28" s="39" t="s">
        <v>16</v>
      </c>
      <c r="B28">
        <f>B26-B27</f>
        <v>41183.877899999992</v>
      </c>
      <c r="C28">
        <f>C26-C27</f>
        <v>43654.910574000009</v>
      </c>
      <c r="D28">
        <f>D26-D27</f>
        <v>46274.205208439991</v>
      </c>
      <c r="E28">
        <f>E26-E27</f>
        <v>49050.657520946406</v>
      </c>
      <c r="F28" s="32">
        <f>F26-F27</f>
        <v>51993.696972203179</v>
      </c>
    </row>
    <row r="29" spans="1:6" x14ac:dyDescent="0.25">
      <c r="A29" s="39" t="s">
        <v>65</v>
      </c>
      <c r="B29">
        <f>B28*(Assum!$D$7/100)</f>
        <v>9472.2919169999986</v>
      </c>
      <c r="C29">
        <f>C28*(Assum!$D$7/100)</f>
        <v>10040.629432020003</v>
      </c>
      <c r="D29">
        <f>D28*(Assum!$D$7/100)</f>
        <v>10643.067197941198</v>
      </c>
      <c r="E29">
        <f>E28*(Assum!$D$7/100)</f>
        <v>11281.651229817673</v>
      </c>
      <c r="F29" s="32">
        <f>F28*(Assum!$D$7/100)</f>
        <v>11958.550303606731</v>
      </c>
    </row>
    <row r="30" spans="1:6" x14ac:dyDescent="0.25">
      <c r="A30" s="39" t="s">
        <v>42</v>
      </c>
      <c r="B30">
        <f>B28-B29</f>
        <v>31711.585982999994</v>
      </c>
      <c r="C30">
        <f>C28-C29</f>
        <v>33614.281141980005</v>
      </c>
      <c r="D30">
        <f>D28-D29</f>
        <v>35631.138010498791</v>
      </c>
      <c r="E30">
        <f>E28-E29</f>
        <v>37769.006291128731</v>
      </c>
      <c r="F30" s="32">
        <f>F28-F29</f>
        <v>40035.146668596448</v>
      </c>
    </row>
    <row r="31" spans="1:6" x14ac:dyDescent="0.25">
      <c r="A31" s="39" t="s">
        <v>43</v>
      </c>
      <c r="B31">
        <f>B25*(Assum!$D$9/100)</f>
        <v>15724.753380000002</v>
      </c>
      <c r="C31">
        <f>C25*(Assum!$D$9/100)</f>
        <v>16668.238582800004</v>
      </c>
      <c r="D31">
        <f>D25*(Assum!$D$9/100)</f>
        <v>17668.332897768003</v>
      </c>
      <c r="E31">
        <f>E25*(Assum!$D$9/100)</f>
        <v>18728.432871634086</v>
      </c>
      <c r="F31" s="32">
        <f>F25*(Assum!$D$9/100)</f>
        <v>19852.138843932131</v>
      </c>
    </row>
    <row r="32" spans="1:6" ht="15.75" thickBot="1" x14ac:dyDescent="0.3">
      <c r="A32" s="40" t="s">
        <v>45</v>
      </c>
      <c r="B32" s="36">
        <f>B25*(Assum!$D$8/100)</f>
        <v>23961.52896</v>
      </c>
      <c r="C32" s="36">
        <f>C25*(Assum!$D$8/100)</f>
        <v>25399.220697600005</v>
      </c>
      <c r="D32" s="36">
        <f>D25*(Assum!$D$8/100)</f>
        <v>26923.173939456006</v>
      </c>
      <c r="E32" s="36">
        <f>E25*(Assum!$D$8/100)</f>
        <v>28538.564375823367</v>
      </c>
      <c r="F32" s="37">
        <f>F25*(Assum!$D$8/100)</f>
        <v>30250.87823837277</v>
      </c>
    </row>
    <row r="33" spans="1:6" x14ac:dyDescent="0.25">
      <c r="A33" s="47"/>
      <c r="B33" s="43"/>
      <c r="C33" s="43"/>
      <c r="D33" s="43"/>
      <c r="E33" s="43"/>
      <c r="F33" s="48"/>
    </row>
    <row r="34" spans="1:6" ht="15.75" thickBot="1" x14ac:dyDescent="0.3">
      <c r="A34" s="49"/>
      <c r="B34" s="50"/>
      <c r="C34" s="50"/>
      <c r="D34" s="50"/>
      <c r="E34" s="50"/>
      <c r="F34" s="51"/>
    </row>
  </sheetData>
  <mergeCells count="1">
    <mergeCell ref="A1:E1"/>
  </mergeCells>
  <pageMargins left="0.7" right="0.7" top="0.75" bottom="0.75" header="0.3" footer="0.3"/>
  <ignoredErrors>
    <ignoredError sqref="B9 C9:F9 B19:F19 B29:F2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D201-D456-4E64-96E8-4DAFAA463D27}">
  <dimension ref="A1:F22"/>
  <sheetViews>
    <sheetView workbookViewId="0">
      <selection activeCell="C55" sqref="C55"/>
    </sheetView>
  </sheetViews>
  <sheetFormatPr defaultRowHeight="15" x14ac:dyDescent="0.25"/>
  <cols>
    <col min="1" max="1" width="24.140625" customWidth="1"/>
  </cols>
  <sheetData>
    <row r="1" spans="1:6" x14ac:dyDescent="0.25">
      <c r="A1" s="71" t="s">
        <v>76</v>
      </c>
      <c r="B1" s="72"/>
      <c r="C1" s="72"/>
      <c r="D1" s="72"/>
      <c r="E1" s="72"/>
      <c r="F1" s="73"/>
    </row>
    <row r="2" spans="1:6" x14ac:dyDescent="0.25">
      <c r="A2" s="31"/>
      <c r="F2" s="32"/>
    </row>
    <row r="3" spans="1:6" x14ac:dyDescent="0.25">
      <c r="A3" s="33" t="s">
        <v>23</v>
      </c>
      <c r="B3" s="3" t="s">
        <v>33</v>
      </c>
      <c r="C3" s="3" t="s">
        <v>34</v>
      </c>
      <c r="D3" s="3" t="s">
        <v>35</v>
      </c>
      <c r="E3" s="3" t="s">
        <v>36</v>
      </c>
      <c r="F3" s="46" t="s">
        <v>37</v>
      </c>
    </row>
    <row r="4" spans="1:6" x14ac:dyDescent="0.25">
      <c r="A4" s="39" t="s">
        <v>42</v>
      </c>
      <c r="B4">
        <f>Projections!B10</f>
        <v>19506.976883625</v>
      </c>
      <c r="C4">
        <f>Projections!C10</f>
        <v>20384.790843388113</v>
      </c>
      <c r="D4">
        <f>Projections!D10</f>
        <v>21302.106431340588</v>
      </c>
      <c r="E4">
        <f>Projections!E10</f>
        <v>22260.701220750911</v>
      </c>
      <c r="F4" s="32">
        <f>Projections!F10</f>
        <v>23262.432775684694</v>
      </c>
    </row>
    <row r="5" spans="1:6" x14ac:dyDescent="0.25">
      <c r="A5" s="39" t="s">
        <v>48</v>
      </c>
      <c r="B5">
        <f>Projections!B11</f>
        <v>14764.0317</v>
      </c>
      <c r="C5">
        <f>Projections!C11</f>
        <v>15428.413126499998</v>
      </c>
      <c r="D5">
        <f>Projections!D11</f>
        <v>16122.691717192496</v>
      </c>
      <c r="E5">
        <f>Projections!E11</f>
        <v>16848.212844466158</v>
      </c>
      <c r="F5" s="32">
        <f>Projections!F11</f>
        <v>17606.382422467133</v>
      </c>
    </row>
    <row r="6" spans="1:6" x14ac:dyDescent="0.25">
      <c r="A6" s="39" t="s">
        <v>49</v>
      </c>
      <c r="B6">
        <f>Projections!B12</f>
        <v>23622.450720000001</v>
      </c>
      <c r="C6">
        <f>Projections!C12</f>
        <v>24685.461002399996</v>
      </c>
      <c r="D6">
        <f>Projections!D12</f>
        <v>25796.306747507995</v>
      </c>
      <c r="E6">
        <f>Projections!E12</f>
        <v>26957.140551145851</v>
      </c>
      <c r="F6" s="32">
        <f>Projections!F12</f>
        <v>28170.211875947414</v>
      </c>
    </row>
    <row r="7" spans="1:6" x14ac:dyDescent="0.25">
      <c r="A7" s="39" t="s">
        <v>50</v>
      </c>
      <c r="B7">
        <f>B4+B5-B6</f>
        <v>10648.557863624999</v>
      </c>
      <c r="C7">
        <f>C4+C5-C6</f>
        <v>11127.742967488117</v>
      </c>
      <c r="D7">
        <f>D4+D5-D6</f>
        <v>11628.491401025087</v>
      </c>
      <c r="E7">
        <f>E4+E5-E6</f>
        <v>12151.773514071218</v>
      </c>
      <c r="F7" s="32">
        <f>F4+F5-F6</f>
        <v>12698.603322204417</v>
      </c>
    </row>
    <row r="8" spans="1:6" x14ac:dyDescent="0.25">
      <c r="A8" s="31"/>
      <c r="F8" s="32"/>
    </row>
    <row r="9" spans="1:6" x14ac:dyDescent="0.25">
      <c r="A9" s="33" t="s">
        <v>22</v>
      </c>
      <c r="F9" s="32"/>
    </row>
    <row r="10" spans="1:6" x14ac:dyDescent="0.25">
      <c r="A10" s="39" t="s">
        <v>42</v>
      </c>
      <c r="B10">
        <f>Projections!B20</f>
        <v>13460.699714999999</v>
      </c>
      <c r="C10">
        <f>Projections!C20</f>
        <v>13864.520706449999</v>
      </c>
      <c r="D10">
        <f>Projections!D20</f>
        <v>14280.456327643504</v>
      </c>
      <c r="E10">
        <f>Projections!E20</f>
        <v>14708.870017472818</v>
      </c>
      <c r="F10" s="32">
        <f>Projections!F20</f>
        <v>15150.136117997008</v>
      </c>
    </row>
    <row r="11" spans="1:6" x14ac:dyDescent="0.25">
      <c r="A11" s="39" t="s">
        <v>48</v>
      </c>
      <c r="B11">
        <f>Projections!B21</f>
        <v>13824.502409999999</v>
      </c>
      <c r="C11">
        <f>Projections!C21</f>
        <v>14239.237482300001</v>
      </c>
      <c r="D11">
        <f>Projections!D21</f>
        <v>14666.414606769002</v>
      </c>
      <c r="E11">
        <f>Projections!E21</f>
        <v>15106.407044972073</v>
      </c>
      <c r="F11" s="32">
        <f>Projections!F21</f>
        <v>15559.599256321237</v>
      </c>
    </row>
    <row r="12" spans="1:6" x14ac:dyDescent="0.25">
      <c r="A12" s="39" t="s">
        <v>49</v>
      </c>
      <c r="B12">
        <f>Projections!B22</f>
        <v>25466.188650000004</v>
      </c>
      <c r="C12">
        <f>Projections!C22</f>
        <v>26230.174309500006</v>
      </c>
      <c r="D12">
        <f>Projections!D22</f>
        <v>27017.079538785008</v>
      </c>
      <c r="E12">
        <f>Projections!E22</f>
        <v>27827.59192494856</v>
      </c>
      <c r="F12" s="32">
        <f>Projections!F22</f>
        <v>28662.419682697018</v>
      </c>
    </row>
    <row r="13" spans="1:6" x14ac:dyDescent="0.25">
      <c r="A13" s="39" t="s">
        <v>66</v>
      </c>
      <c r="B13">
        <f>B10+B11-B12</f>
        <v>1819.0134749999925</v>
      </c>
      <c r="C13">
        <f>C10+C11-C12</f>
        <v>1873.5838792499926</v>
      </c>
      <c r="D13">
        <f>D10+D11-D12</f>
        <v>1929.791395627497</v>
      </c>
      <c r="E13">
        <f>E10+E11-E12</f>
        <v>1987.6851374963298</v>
      </c>
      <c r="F13" s="32">
        <f>F10+F11-F12</f>
        <v>2047.3156916212283</v>
      </c>
    </row>
    <row r="14" spans="1:6" x14ac:dyDescent="0.25">
      <c r="A14" s="31"/>
      <c r="C14" t="s">
        <v>47</v>
      </c>
      <c r="F14" s="32"/>
    </row>
    <row r="15" spans="1:6" x14ac:dyDescent="0.25">
      <c r="A15" s="39" t="s">
        <v>67</v>
      </c>
      <c r="F15" s="32"/>
    </row>
    <row r="16" spans="1:6" x14ac:dyDescent="0.25">
      <c r="A16" s="39" t="s">
        <v>42</v>
      </c>
      <c r="B16">
        <f>Projections!B30</f>
        <v>31711.585982999994</v>
      </c>
      <c r="C16">
        <f>Projections!C30</f>
        <v>33614.281141980005</v>
      </c>
      <c r="D16">
        <f>Projections!D30</f>
        <v>35631.138010498791</v>
      </c>
      <c r="E16">
        <f>Projections!E30</f>
        <v>37769.006291128731</v>
      </c>
      <c r="F16" s="32">
        <f>Projections!F30</f>
        <v>40035.146668596448</v>
      </c>
    </row>
    <row r="17" spans="1:6" x14ac:dyDescent="0.25">
      <c r="A17" s="39" t="s">
        <v>48</v>
      </c>
      <c r="B17">
        <f>Projections!B31</f>
        <v>15724.753380000002</v>
      </c>
      <c r="C17">
        <f>Projections!C31</f>
        <v>16668.238582800004</v>
      </c>
      <c r="D17">
        <f>Projections!D31</f>
        <v>17668.332897768003</v>
      </c>
      <c r="E17">
        <f>Projections!E31</f>
        <v>18728.432871634086</v>
      </c>
      <c r="F17" s="32">
        <f>Projections!F31</f>
        <v>19852.138843932131</v>
      </c>
    </row>
    <row r="18" spans="1:6" x14ac:dyDescent="0.25">
      <c r="A18" s="39" t="s">
        <v>49</v>
      </c>
      <c r="B18">
        <f>Projections!B32</f>
        <v>23961.52896</v>
      </c>
      <c r="C18">
        <f>Projections!C32</f>
        <v>25399.220697600005</v>
      </c>
      <c r="D18">
        <f>Projections!D32</f>
        <v>26923.173939456006</v>
      </c>
      <c r="E18">
        <f>Projections!E32</f>
        <v>28538.564375823367</v>
      </c>
      <c r="F18" s="32">
        <f>Projections!F32</f>
        <v>30250.87823837277</v>
      </c>
    </row>
    <row r="19" spans="1:6" x14ac:dyDescent="0.25">
      <c r="A19" s="39" t="s">
        <v>68</v>
      </c>
      <c r="B19">
        <f>B16+B17-B18</f>
        <v>23474.810402999992</v>
      </c>
      <c r="C19">
        <f>C16+C17-C18</f>
        <v>24883.299027180004</v>
      </c>
      <c r="D19">
        <f>D16+D17-D18</f>
        <v>26376.296968810791</v>
      </c>
      <c r="E19">
        <f>E16+E17-E18</f>
        <v>27958.874786939454</v>
      </c>
      <c r="F19" s="32">
        <f>F16+F17-F18</f>
        <v>29636.407274155808</v>
      </c>
    </row>
    <row r="20" spans="1:6" x14ac:dyDescent="0.25">
      <c r="A20" s="31"/>
      <c r="F20" s="32"/>
    </row>
    <row r="21" spans="1:6" x14ac:dyDescent="0.25">
      <c r="A21" s="31"/>
      <c r="F21" s="32"/>
    </row>
    <row r="22" spans="1:6" ht="15.75" thickBot="1" x14ac:dyDescent="0.3">
      <c r="A22" s="35"/>
      <c r="B22" s="36"/>
      <c r="C22" s="36"/>
      <c r="D22" s="36"/>
      <c r="E22" s="36"/>
      <c r="F22" s="37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0BC1-01D4-491E-98DF-B537CCF43718}">
  <dimension ref="A1:O50"/>
  <sheetViews>
    <sheetView tabSelected="1" workbookViewId="0">
      <selection activeCell="K30" sqref="K30"/>
    </sheetView>
  </sheetViews>
  <sheetFormatPr defaultRowHeight="15" x14ac:dyDescent="0.25"/>
  <cols>
    <col min="1" max="1" width="26" bestFit="1" customWidth="1"/>
    <col min="9" max="9" width="16.7109375" bestFit="1" customWidth="1"/>
    <col min="10" max="10" width="19.7109375" bestFit="1" customWidth="1"/>
    <col min="11" max="11" width="18" bestFit="1" customWidth="1"/>
    <col min="12" max="12" width="16.7109375" bestFit="1" customWidth="1"/>
    <col min="13" max="13" width="9.42578125" bestFit="1" customWidth="1"/>
  </cols>
  <sheetData>
    <row r="1" spans="1:13" x14ac:dyDescent="0.25">
      <c r="A1" s="55" t="s">
        <v>51</v>
      </c>
      <c r="B1" s="44"/>
      <c r="C1" s="44"/>
      <c r="D1" s="44"/>
      <c r="E1" s="44"/>
      <c r="F1" s="44"/>
      <c r="G1" s="45"/>
    </row>
    <row r="2" spans="1:13" x14ac:dyDescent="0.25">
      <c r="A2" s="31"/>
      <c r="G2" s="32"/>
      <c r="H2" s="31"/>
    </row>
    <row r="3" spans="1:13" x14ac:dyDescent="0.25">
      <c r="A3" s="33" t="s">
        <v>52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2"/>
      <c r="H3" s="31"/>
      <c r="I3" s="64" t="s">
        <v>38</v>
      </c>
      <c r="J3" s="65" t="s">
        <v>75</v>
      </c>
      <c r="K3" s="3"/>
      <c r="L3" s="3"/>
      <c r="M3" s="3"/>
    </row>
    <row r="4" spans="1:13" x14ac:dyDescent="0.25">
      <c r="A4" s="39" t="s">
        <v>53</v>
      </c>
      <c r="B4">
        <f>FCF!B7</f>
        <v>10648.557863624999</v>
      </c>
      <c r="C4">
        <f>FCF!C7</f>
        <v>11127.742967488117</v>
      </c>
      <c r="D4">
        <f>FCF!D7</f>
        <v>11628.491401025087</v>
      </c>
      <c r="E4">
        <f>FCF!E7</f>
        <v>12151.773514071218</v>
      </c>
      <c r="F4">
        <f>FCF!F7</f>
        <v>12698.603322204417</v>
      </c>
      <c r="G4" s="32"/>
      <c r="H4" s="31"/>
      <c r="I4" s="42" t="s">
        <v>22</v>
      </c>
      <c r="J4" s="29">
        <f>B32</f>
        <v>0.36893784652649275</v>
      </c>
    </row>
    <row r="5" spans="1:13" x14ac:dyDescent="0.25">
      <c r="A5" s="39" t="s">
        <v>54</v>
      </c>
      <c r="B5">
        <f>1/(1+Assum!$C$10/100)^1</f>
        <v>0.92592592592592582</v>
      </c>
      <c r="C5">
        <f>1/(1+Assum!$C$10/100)^2</f>
        <v>0.85733882030178321</v>
      </c>
      <c r="D5">
        <f>1/(1+Assum!$C$10/100)^3</f>
        <v>0.79383224102016958</v>
      </c>
      <c r="E5">
        <f>1/(1+Assum!$C$10/100)^4</f>
        <v>0.73502985279645328</v>
      </c>
      <c r="F5">
        <f>1/(1+Assum!$C$10/100)^5</f>
        <v>0.68058319703375303</v>
      </c>
      <c r="G5" s="32"/>
      <c r="H5" s="31"/>
      <c r="I5" s="42" t="s">
        <v>23</v>
      </c>
      <c r="J5" s="29">
        <f>B15</f>
        <v>22.804678418337524</v>
      </c>
    </row>
    <row r="6" spans="1:13" x14ac:dyDescent="0.25">
      <c r="A6" s="39" t="s">
        <v>55</v>
      </c>
      <c r="B6">
        <f>B4*B5</f>
        <v>9859.7757996527762</v>
      </c>
      <c r="C6">
        <f t="shared" ref="C6:F6" si="0">C4*C5</f>
        <v>9540.2460283677265</v>
      </c>
      <c r="D6">
        <f t="shared" si="0"/>
        <v>9231.071388559516</v>
      </c>
      <c r="E6">
        <f t="shared" si="0"/>
        <v>8931.9162972636059</v>
      </c>
      <c r="F6">
        <f t="shared" si="0"/>
        <v>8642.4560468893196</v>
      </c>
      <c r="G6" s="32"/>
      <c r="H6" s="31"/>
      <c r="I6" s="42" t="s">
        <v>24</v>
      </c>
      <c r="J6" s="29">
        <f>B49</f>
        <v>78.084013110210904</v>
      </c>
    </row>
    <row r="7" spans="1:13" x14ac:dyDescent="0.25">
      <c r="A7" s="31"/>
      <c r="G7" s="32"/>
    </row>
    <row r="8" spans="1:13" x14ac:dyDescent="0.25">
      <c r="A8" s="39" t="s">
        <v>56</v>
      </c>
      <c r="B8">
        <f>SUM(B6:F6)</f>
        <v>46205.465560732941</v>
      </c>
      <c r="G8" s="32"/>
    </row>
    <row r="9" spans="1:13" x14ac:dyDescent="0.25">
      <c r="A9" s="39" t="s">
        <v>57</v>
      </c>
      <c r="B9">
        <f>(F4*(1+Assum!$C$11/100))/(Assum!$C$10/100-Assum!$C$11/100)</f>
        <v>236655.78918653683</v>
      </c>
      <c r="G9" s="32"/>
      <c r="I9" s="64" t="s">
        <v>38</v>
      </c>
      <c r="J9" s="65" t="s">
        <v>63</v>
      </c>
      <c r="K9" s="65" t="s">
        <v>78</v>
      </c>
      <c r="L9" s="65" t="s">
        <v>79</v>
      </c>
    </row>
    <row r="10" spans="1:13" x14ac:dyDescent="0.25">
      <c r="A10" s="39" t="s">
        <v>58</v>
      </c>
      <c r="B10">
        <f>B9*F5</f>
        <v>161063.95360111911</v>
      </c>
      <c r="G10" s="32"/>
      <c r="I10" s="62" t="s">
        <v>22</v>
      </c>
      <c r="J10" s="29">
        <f>J4</f>
        <v>0.36893784652649275</v>
      </c>
      <c r="K10">
        <v>118.72</v>
      </c>
      <c r="L10" s="4">
        <f>J10/K10-1</f>
        <v>-0.99689236989111785</v>
      </c>
    </row>
    <row r="11" spans="1:13" x14ac:dyDescent="0.25">
      <c r="A11" s="39" t="s">
        <v>59</v>
      </c>
      <c r="B11">
        <f>B8+B10</f>
        <v>207269.41916185204</v>
      </c>
      <c r="G11" s="32"/>
      <c r="I11" s="62" t="s">
        <v>23</v>
      </c>
      <c r="J11" s="29">
        <f>J5</f>
        <v>22.804678418337524</v>
      </c>
      <c r="K11">
        <v>118.72</v>
      </c>
      <c r="L11" s="4">
        <f t="shared" ref="L11:L12" si="1">J11/K11-1</f>
        <v>-0.80791207531723785</v>
      </c>
    </row>
    <row r="12" spans="1:13" x14ac:dyDescent="0.25">
      <c r="A12" s="39" t="s">
        <v>60</v>
      </c>
      <c r="B12">
        <f>34624-10727</f>
        <v>23897</v>
      </c>
      <c r="G12" s="32"/>
      <c r="I12" s="62" t="s">
        <v>24</v>
      </c>
      <c r="J12" s="29">
        <f>J6</f>
        <v>78.084013110210904</v>
      </c>
      <c r="K12">
        <v>118.72</v>
      </c>
      <c r="L12" s="4">
        <f t="shared" si="1"/>
        <v>-0.3422842561471453</v>
      </c>
    </row>
    <row r="13" spans="1:13" x14ac:dyDescent="0.25">
      <c r="A13" s="39" t="s">
        <v>61</v>
      </c>
      <c r="B13">
        <f>B11-B12</f>
        <v>183372.41916185204</v>
      </c>
      <c r="G13" s="32"/>
    </row>
    <row r="14" spans="1:13" x14ac:dyDescent="0.25">
      <c r="A14" s="39" t="s">
        <v>62</v>
      </c>
      <c r="B14">
        <f>8041</f>
        <v>8041</v>
      </c>
      <c r="G14" s="32"/>
      <c r="I14" s="62"/>
    </row>
    <row r="15" spans="1:13" x14ac:dyDescent="0.25">
      <c r="A15" s="39" t="s">
        <v>63</v>
      </c>
      <c r="B15">
        <f>B13/B14</f>
        <v>22.804678418337524</v>
      </c>
      <c r="G15" s="32"/>
      <c r="I15" s="64" t="s">
        <v>80</v>
      </c>
      <c r="J15" s="67" t="s">
        <v>81</v>
      </c>
      <c r="K15" s="67"/>
      <c r="L15" s="67"/>
    </row>
    <row r="16" spans="1:13" ht="15.75" thickBot="1" x14ac:dyDescent="0.3">
      <c r="A16" s="35"/>
      <c r="B16" s="36"/>
      <c r="C16" s="36"/>
      <c r="D16" s="36"/>
      <c r="E16" s="36"/>
      <c r="F16" s="36"/>
      <c r="G16" s="37"/>
      <c r="I16" s="63" t="s">
        <v>82</v>
      </c>
      <c r="J16" t="s">
        <v>83</v>
      </c>
    </row>
    <row r="17" spans="1:15" x14ac:dyDescent="0.25">
      <c r="A17" s="31"/>
      <c r="G17" s="32"/>
    </row>
    <row r="18" spans="1:15" x14ac:dyDescent="0.25">
      <c r="A18" s="56" t="s">
        <v>69</v>
      </c>
      <c r="G18" s="32"/>
      <c r="H18" s="31"/>
      <c r="I18" s="64" t="s">
        <v>84</v>
      </c>
      <c r="J18" t="s">
        <v>85</v>
      </c>
      <c r="K18" s="66"/>
      <c r="L18" s="66"/>
      <c r="M18" s="66"/>
      <c r="N18" s="66"/>
      <c r="O18" s="66"/>
    </row>
    <row r="19" spans="1:15" x14ac:dyDescent="0.25">
      <c r="A19" s="31"/>
      <c r="G19" s="32"/>
      <c r="J19" s="66"/>
      <c r="K19" s="66"/>
      <c r="L19" s="66"/>
    </row>
    <row r="20" spans="1:15" x14ac:dyDescent="0.25">
      <c r="A20" s="33" t="s">
        <v>52</v>
      </c>
      <c r="B20" s="30" t="s">
        <v>33</v>
      </c>
      <c r="C20" s="30" t="s">
        <v>34</v>
      </c>
      <c r="D20" s="30" t="s">
        <v>35</v>
      </c>
      <c r="E20" s="30" t="s">
        <v>36</v>
      </c>
      <c r="F20" s="3" t="s">
        <v>37</v>
      </c>
      <c r="G20" s="32"/>
      <c r="K20" s="66"/>
      <c r="L20" s="66"/>
      <c r="M20" s="66"/>
      <c r="N20" s="66"/>
      <c r="O20" s="66"/>
    </row>
    <row r="21" spans="1:15" x14ac:dyDescent="0.25">
      <c r="A21" s="39" t="s">
        <v>70</v>
      </c>
      <c r="B21">
        <f>FCF!B13</f>
        <v>1819.0134749999925</v>
      </c>
      <c r="C21">
        <f>FCF!C13</f>
        <v>1873.5838792499926</v>
      </c>
      <c r="D21">
        <f>FCF!D13</f>
        <v>1929.791395627497</v>
      </c>
      <c r="E21">
        <f>FCF!E13</f>
        <v>1987.6851374963298</v>
      </c>
      <c r="F21" s="41">
        <f>FCF!F13</f>
        <v>2047.3156916212283</v>
      </c>
      <c r="G21" s="32"/>
    </row>
    <row r="22" spans="1:15" x14ac:dyDescent="0.25">
      <c r="A22" s="39" t="s">
        <v>54</v>
      </c>
      <c r="B22">
        <f>1/(1+Assum!$B$10/100)^1</f>
        <v>0.9174311926605504</v>
      </c>
      <c r="C22">
        <f>1/(1+Assum!B$10/100)^2</f>
        <v>0.84167999326655996</v>
      </c>
      <c r="D22">
        <f>1/(1+Assum!$B$10/100)^3</f>
        <v>0.77218348006106419</v>
      </c>
      <c r="E22">
        <f>1/(1+Assum!$B$10/100)^4</f>
        <v>0.7084252110651964</v>
      </c>
      <c r="F22">
        <f>1/(1+Assum!$B$10/100)^5</f>
        <v>0.64993138629834524</v>
      </c>
      <c r="G22" s="32"/>
    </row>
    <row r="23" spans="1:15" x14ac:dyDescent="0.25">
      <c r="A23" s="39" t="s">
        <v>55</v>
      </c>
      <c r="B23">
        <f>B21*B22</f>
        <v>1668.8197018348553</v>
      </c>
      <c r="C23">
        <f t="shared" ref="C23:F23" si="2">C21*C22</f>
        <v>1576.9580668714691</v>
      </c>
      <c r="D23">
        <f t="shared" si="2"/>
        <v>1490.1530356675385</v>
      </c>
      <c r="E23">
        <f t="shared" si="2"/>
        <v>1408.1262630619915</v>
      </c>
      <c r="F23">
        <f t="shared" si="2"/>
        <v>1330.6147256457405</v>
      </c>
      <c r="G23" s="32"/>
    </row>
    <row r="24" spans="1:15" x14ac:dyDescent="0.25">
      <c r="A24" s="31"/>
      <c r="G24" s="32"/>
    </row>
    <row r="25" spans="1:15" x14ac:dyDescent="0.25">
      <c r="A25" s="39" t="s">
        <v>56</v>
      </c>
      <c r="B25">
        <f>SUM(B23:F23)</f>
        <v>7474.6717930815948</v>
      </c>
      <c r="G25" s="32"/>
    </row>
    <row r="26" spans="1:15" x14ac:dyDescent="0.25">
      <c r="A26" s="39" t="s">
        <v>57</v>
      </c>
      <c r="B26">
        <f>(F21*(1+Assum!$B$11/100))/(Assum!$B$10/100-Assum!$B$11/100)</f>
        <v>29832.314363623616</v>
      </c>
      <c r="G26" s="32"/>
    </row>
    <row r="27" spans="1:15" x14ac:dyDescent="0.25">
      <c r="A27" s="39" t="s">
        <v>58</v>
      </c>
      <c r="B27">
        <f>B26*F22</f>
        <v>19388.957430837934</v>
      </c>
      <c r="G27" s="32"/>
    </row>
    <row r="28" spans="1:15" x14ac:dyDescent="0.25">
      <c r="A28" s="39" t="s">
        <v>71</v>
      </c>
      <c r="B28">
        <f>B25+B27</f>
        <v>26863.629223919528</v>
      </c>
      <c r="G28" s="32"/>
    </row>
    <row r="29" spans="1:15" x14ac:dyDescent="0.25">
      <c r="A29" s="39" t="s">
        <v>72</v>
      </c>
      <c r="B29">
        <v>23897</v>
      </c>
      <c r="G29" s="32"/>
    </row>
    <row r="30" spans="1:15" x14ac:dyDescent="0.25">
      <c r="A30" s="39" t="s">
        <v>61</v>
      </c>
      <c r="B30">
        <f>B28-B29</f>
        <v>2966.6292239195282</v>
      </c>
      <c r="G30" s="32"/>
    </row>
    <row r="31" spans="1:15" x14ac:dyDescent="0.25">
      <c r="A31" s="39" t="s">
        <v>62</v>
      </c>
      <c r="B31">
        <f>8041</f>
        <v>8041</v>
      </c>
      <c r="G31" s="32"/>
    </row>
    <row r="32" spans="1:15" x14ac:dyDescent="0.25">
      <c r="A32" s="39" t="s">
        <v>63</v>
      </c>
      <c r="B32">
        <f>B30/B31</f>
        <v>0.36893784652649275</v>
      </c>
      <c r="G32" s="32"/>
    </row>
    <row r="33" spans="1:13" ht="15.75" thickBot="1" x14ac:dyDescent="0.3">
      <c r="A33" s="35"/>
      <c r="B33" s="36"/>
      <c r="C33" s="36"/>
      <c r="D33" s="36"/>
      <c r="E33" s="36"/>
      <c r="F33" s="36"/>
      <c r="G33" s="37"/>
      <c r="M33" s="57"/>
    </row>
    <row r="34" spans="1:13" x14ac:dyDescent="0.25">
      <c r="A34" s="31"/>
      <c r="G34" s="32"/>
    </row>
    <row r="35" spans="1:13" x14ac:dyDescent="0.25">
      <c r="A35" s="56" t="s">
        <v>73</v>
      </c>
      <c r="G35" s="32"/>
    </row>
    <row r="36" spans="1:13" x14ac:dyDescent="0.25">
      <c r="A36" s="31"/>
      <c r="G36" s="32"/>
    </row>
    <row r="37" spans="1:13" x14ac:dyDescent="0.25">
      <c r="A37" s="53" t="s">
        <v>52</v>
      </c>
      <c r="B37" s="3" t="s">
        <v>33</v>
      </c>
      <c r="C37" s="3" t="s">
        <v>34</v>
      </c>
      <c r="D37" s="3" t="s">
        <v>35</v>
      </c>
      <c r="E37" s="3" t="s">
        <v>36</v>
      </c>
      <c r="F37" s="3" t="s">
        <v>37</v>
      </c>
      <c r="G37" s="32"/>
    </row>
    <row r="38" spans="1:13" x14ac:dyDescent="0.25">
      <c r="A38" s="54" t="s">
        <v>53</v>
      </c>
      <c r="B38">
        <f>FCF!B19</f>
        <v>23474.810402999992</v>
      </c>
      <c r="C38">
        <f>FCF!C19</f>
        <v>24883.299027180004</v>
      </c>
      <c r="D38">
        <f>FCF!D19</f>
        <v>26376.296968810791</v>
      </c>
      <c r="E38">
        <f>FCF!E19</f>
        <v>27958.874786939454</v>
      </c>
      <c r="F38">
        <f>FCF!F19</f>
        <v>29636.407274155808</v>
      </c>
      <c r="G38" s="32"/>
    </row>
    <row r="39" spans="1:13" x14ac:dyDescent="0.25">
      <c r="A39" s="54" t="s">
        <v>54</v>
      </c>
      <c r="B39">
        <f>1/(1+Assum!$D$10/100)^1</f>
        <v>0.93457943925233644</v>
      </c>
      <c r="C39">
        <f>1/(1+Assum!$D$10/100)^2</f>
        <v>0.87343872827321156</v>
      </c>
      <c r="D39">
        <f>1/(1+Assum!$D$10/100)^3</f>
        <v>0.81629787689085187</v>
      </c>
      <c r="E39">
        <f>1/(1+Assum!$D10/100)^4</f>
        <v>0.7628952120475252</v>
      </c>
      <c r="F39">
        <f>1/(1+Assum!$D$10/100)^5</f>
        <v>0.71298617948366838</v>
      </c>
      <c r="G39" s="32"/>
    </row>
    <row r="40" spans="1:13" x14ac:dyDescent="0.25">
      <c r="A40" s="54" t="s">
        <v>74</v>
      </c>
      <c r="B40">
        <f>B38*B39</f>
        <v>21939.075142990645</v>
      </c>
      <c r="C40">
        <f t="shared" ref="C40:F40" si="3">C38*C39</f>
        <v>21734.037057542144</v>
      </c>
      <c r="D40">
        <f t="shared" si="3"/>
        <v>21530.915215882862</v>
      </c>
      <c r="E40">
        <f t="shared" si="3"/>
        <v>21329.691709192379</v>
      </c>
      <c r="F40">
        <f t="shared" si="3"/>
        <v>21130.34879602235</v>
      </c>
      <c r="G40" s="32"/>
    </row>
    <row r="41" spans="1:13" x14ac:dyDescent="0.25">
      <c r="A41" s="31"/>
      <c r="G41" s="32"/>
    </row>
    <row r="42" spans="1:13" x14ac:dyDescent="0.25">
      <c r="A42" s="39" t="s">
        <v>56</v>
      </c>
      <c r="B42">
        <f>SUM(B40:F40)</f>
        <v>107664.0679216304</v>
      </c>
      <c r="G42" s="32"/>
    </row>
    <row r="43" spans="1:13" x14ac:dyDescent="0.25">
      <c r="A43" s="39" t="s">
        <v>57</v>
      </c>
      <c r="B43">
        <f>(F38*(1+Assum!$D$11/100))/(Assum!$D$10/100-Assum!$D$11/100)</f>
        <v>763137.48730951198</v>
      </c>
      <c r="G43" s="32"/>
    </row>
    <row r="44" spans="1:13" x14ac:dyDescent="0.25">
      <c r="A44" s="39" t="s">
        <v>58</v>
      </c>
      <c r="B44">
        <f>B43*F39</f>
        <v>544106.48149757541</v>
      </c>
      <c r="G44" s="32"/>
    </row>
    <row r="45" spans="1:13" x14ac:dyDescent="0.25">
      <c r="A45" s="39" t="s">
        <v>71</v>
      </c>
      <c r="B45">
        <f>B42+B44</f>
        <v>651770.54941920587</v>
      </c>
      <c r="G45" s="32"/>
    </row>
    <row r="46" spans="1:13" x14ac:dyDescent="0.25">
      <c r="A46" s="39" t="s">
        <v>72</v>
      </c>
      <c r="B46">
        <f>23897</f>
        <v>23897</v>
      </c>
      <c r="G46" s="32"/>
    </row>
    <row r="47" spans="1:13" x14ac:dyDescent="0.25">
      <c r="A47" s="39" t="s">
        <v>61</v>
      </c>
      <c r="B47">
        <f>B45-B46</f>
        <v>627873.54941920587</v>
      </c>
      <c r="G47" s="32"/>
    </row>
    <row r="48" spans="1:13" x14ac:dyDescent="0.25">
      <c r="A48" s="39" t="s">
        <v>62</v>
      </c>
      <c r="B48">
        <f>8041</f>
        <v>8041</v>
      </c>
      <c r="G48" s="32"/>
    </row>
    <row r="49" spans="1:7" x14ac:dyDescent="0.25">
      <c r="A49" s="39" t="s">
        <v>63</v>
      </c>
      <c r="B49">
        <f>B47/B48</f>
        <v>78.084013110210904</v>
      </c>
      <c r="G49" s="32"/>
    </row>
    <row r="50" spans="1:7" ht="15.75" thickBot="1" x14ac:dyDescent="0.3">
      <c r="A50" s="35"/>
      <c r="B50" s="36"/>
      <c r="C50" s="36"/>
      <c r="D50" s="36"/>
      <c r="E50" s="36"/>
      <c r="F50" s="36"/>
      <c r="G50" s="37"/>
    </row>
  </sheetData>
  <mergeCells count="1">
    <mergeCell ref="J15:L1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</vt:lpstr>
      <vt:lpstr>Assum</vt:lpstr>
      <vt:lpstr>Projections</vt:lpstr>
      <vt:lpstr>FCF</vt:lpstr>
      <vt:lpstr>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 Gohil</dc:creator>
  <cp:lastModifiedBy>Ean Gohil</cp:lastModifiedBy>
  <cp:lastPrinted>2026-05-28T01:53:35Z</cp:lastPrinted>
  <dcterms:created xsi:type="dcterms:W3CDTF">2026-05-21T03:02:27Z</dcterms:created>
  <dcterms:modified xsi:type="dcterms:W3CDTF">2026-05-28T01:53:50Z</dcterms:modified>
</cp:coreProperties>
</file>